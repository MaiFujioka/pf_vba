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pf\pf_vba\"/>
    </mc:Choice>
  </mc:AlternateContent>
  <xr:revisionPtr revIDLastSave="0" documentId="13_ncr:1_{A92119A9-DEF9-4F45-BB6B-4ABA958B23B6}" xr6:coauthVersionLast="45" xr6:coauthVersionMax="45" xr10:uidLastSave="{00000000-0000-0000-0000-000000000000}"/>
  <bookViews>
    <workbookView xWindow="1536" yWindow="1176" windowWidth="18132" windowHeight="11784" activeTab="1" xr2:uid="{8FC575E7-F0DA-4C97-BD6A-3C7BA2F068EB}"/>
  </bookViews>
  <sheets>
    <sheet name="グラフ1" sheetId="2" r:id="rId1"/>
    <sheet name="家計簿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7" i="1" l="1"/>
  <c r="R16" i="1"/>
  <c r="T5" i="1"/>
  <c r="R6" i="1" l="1"/>
  <c r="R7" i="1"/>
  <c r="T7" i="1" s="1"/>
  <c r="R8" i="1"/>
  <c r="T8" i="1" s="1"/>
  <c r="R9" i="1"/>
  <c r="T9" i="1" s="1"/>
  <c r="R10" i="1"/>
  <c r="T10" i="1" s="1"/>
  <c r="R11" i="1"/>
  <c r="T11" i="1" s="1"/>
  <c r="R12" i="1"/>
  <c r="T12" i="1" s="1"/>
  <c r="R13" i="1"/>
  <c r="T13" i="1" s="1"/>
  <c r="R14" i="1"/>
  <c r="T14" i="1" s="1"/>
  <c r="R15" i="1"/>
  <c r="T15" i="1" s="1"/>
  <c r="T16" i="1"/>
  <c r="T6" i="1" l="1"/>
  <c r="T17" i="1" s="1"/>
  <c r="R17" i="1"/>
</calcChain>
</file>

<file path=xl/sharedStrings.xml><?xml version="1.0" encoding="utf-8"?>
<sst xmlns="http://schemas.openxmlformats.org/spreadsheetml/2006/main" count="32" uniqueCount="32">
  <si>
    <t>2020年度家計簿</t>
    <rPh sb="4" eb="6">
      <t>ネンド</t>
    </rPh>
    <rPh sb="6" eb="9">
      <t>カケイボ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</si>
  <si>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</si>
  <si>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</si>
  <si>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</si>
  <si>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</si>
  <si>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</si>
  <si>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</si>
  <si>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</si>
  <si>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</si>
  <si>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</si>
  <si>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</si>
  <si>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</si>
  <si>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3月</t>
  </si>
  <si>
    <t>趣味</t>
    <rPh sb="0" eb="2">
      <t>シュミ</t>
    </rPh>
    <phoneticPr fontId="1"/>
  </si>
  <si>
    <t>衣料品</t>
    <rPh sb="0" eb="3">
      <t>イリョウヒン</t>
    </rPh>
    <phoneticPr fontId="1"/>
  </si>
  <si>
    <t>医療費</t>
    <rPh sb="0" eb="3">
      <t>イリョウヒ</t>
    </rPh>
    <phoneticPr fontId="1"/>
  </si>
  <si>
    <t>日用品</t>
    <rPh sb="0" eb="3">
      <t>ニチヨウヒン</t>
    </rPh>
    <phoneticPr fontId="1"/>
  </si>
  <si>
    <t>外食</t>
    <rPh sb="0" eb="2">
      <t>ガイショク</t>
    </rPh>
    <phoneticPr fontId="1"/>
  </si>
  <si>
    <t>文具</t>
    <rPh sb="0" eb="2">
      <t>ブング</t>
    </rPh>
    <phoneticPr fontId="1"/>
  </si>
  <si>
    <t>雑費</t>
    <rPh sb="0" eb="2">
      <t>ザッピ</t>
    </rPh>
    <phoneticPr fontId="1"/>
  </si>
  <si>
    <t>電気</t>
    <rPh sb="0" eb="2">
      <t>デンキ</t>
    </rPh>
    <phoneticPr fontId="1"/>
  </si>
  <si>
    <t>ガス</t>
    <phoneticPr fontId="1"/>
  </si>
  <si>
    <t>水道</t>
    <rPh sb="0" eb="2">
      <t>スイドウ</t>
    </rPh>
    <phoneticPr fontId="1"/>
  </si>
  <si>
    <t>カード分</t>
    <rPh sb="3" eb="4">
      <t>ブン</t>
    </rPh>
    <phoneticPr fontId="1"/>
  </si>
  <si>
    <t>支出合計</t>
    <rPh sb="0" eb="2">
      <t>シシュツ</t>
    </rPh>
    <rPh sb="2" eb="4">
      <t>ゴウケイ</t>
    </rPh>
    <phoneticPr fontId="1"/>
  </si>
  <si>
    <t>収入合計</t>
    <rPh sb="0" eb="2">
      <t>シュウニュウ</t>
    </rPh>
    <rPh sb="2" eb="4">
      <t>ゴウケイ</t>
    </rPh>
    <phoneticPr fontId="1"/>
  </si>
  <si>
    <t>美容費</t>
    <rPh sb="0" eb="2">
      <t>ビヨウ</t>
    </rPh>
    <rPh sb="2" eb="3">
      <t>ヒ</t>
    </rPh>
    <phoneticPr fontId="1"/>
  </si>
  <si>
    <t>家賃</t>
    <rPh sb="0" eb="2">
      <t>ヤチン</t>
    </rPh>
    <phoneticPr fontId="1"/>
  </si>
  <si>
    <t>お菓子系</t>
    <rPh sb="1" eb="3">
      <t>カシ</t>
    </rPh>
    <rPh sb="3" eb="4">
      <t>ケイ</t>
    </rPh>
    <phoneticPr fontId="1"/>
  </si>
  <si>
    <t>食費</t>
    <rPh sb="0" eb="2">
      <t>ショクヒ</t>
    </rPh>
    <phoneticPr fontId="1"/>
  </si>
  <si>
    <t>貯蓄額</t>
    <rPh sb="0" eb="3">
      <t>チョチクガク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</si>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</sst>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A6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2" borderId="15" xfId="0" applyFill="1" applyBorder="1">
      <alignment vertical="center"/>
    </xf>
    <xf numFmtId="0" fontId="0" fillId="2" borderId="20" xfId="0" applyFill="1" applyBorder="1">
      <alignment vertical="center"/>
    </xf>
    <xf numFmtId="38" fontId="0" fillId="0" borderId="0" xfId="1" applyFont="1">
      <alignment vertical="center"/>
    </xf>
    <xf numFmtId="38" fontId="0" fillId="0" borderId="16" xfId="1" applyFont="1" applyBorder="1">
      <alignment vertical="center"/>
    </xf>
    <xf numFmtId="38" fontId="0" fillId="0" borderId="3" xfId="1" applyFont="1" applyBorder="1">
      <alignment vertical="center"/>
    </xf>
    <xf numFmtId="38" fontId="0" fillId="0" borderId="9" xfId="1" applyFont="1" applyBorder="1">
      <alignment vertical="center"/>
    </xf>
    <xf numFmtId="38" fontId="0" fillId="0" borderId="4" xfId="1" applyFont="1" applyBorder="1">
      <alignment vertical="center"/>
    </xf>
    <xf numFmtId="38" fontId="0" fillId="0" borderId="19" xfId="1" applyFont="1" applyBorder="1">
      <alignment vertical="center"/>
    </xf>
    <xf numFmtId="38" fontId="0" fillId="0" borderId="5" xfId="1" applyFont="1" applyBorder="1">
      <alignment vertical="center"/>
    </xf>
    <xf numFmtId="38" fontId="0" fillId="0" borderId="10" xfId="1" applyFont="1" applyBorder="1">
      <alignment vertical="center"/>
    </xf>
    <xf numFmtId="38" fontId="0" fillId="0" borderId="1" xfId="1" applyFont="1" applyBorder="1">
      <alignment vertical="center"/>
    </xf>
    <xf numFmtId="38" fontId="0" fillId="0" borderId="17" xfId="1" applyFont="1" applyBorder="1">
      <alignment vertical="center"/>
    </xf>
    <xf numFmtId="38" fontId="0" fillId="0" borderId="11" xfId="1" applyFont="1" applyBorder="1">
      <alignment vertical="center"/>
    </xf>
    <xf numFmtId="38" fontId="0" fillId="0" borderId="18" xfId="1" applyFont="1" applyBorder="1">
      <alignment vertical="center"/>
    </xf>
    <xf numFmtId="38" fontId="0" fillId="0" borderId="24" xfId="1" applyFont="1" applyBorder="1">
      <alignment vertical="center"/>
    </xf>
    <xf numFmtId="38" fontId="0" fillId="0" borderId="25" xfId="1" applyFont="1" applyBorder="1">
      <alignment vertical="center"/>
    </xf>
    <xf numFmtId="38" fontId="0" fillId="0" borderId="26" xfId="1" applyFont="1" applyBorder="1">
      <alignment vertical="center"/>
    </xf>
    <xf numFmtId="0" fontId="0" fillId="3" borderId="2" xfId="0" applyFill="1" applyBorder="1">
      <alignment vertical="center"/>
    </xf>
    <xf numFmtId="38" fontId="0" fillId="0" borderId="21" xfId="0" applyNumberFormat="1" applyBorder="1">
      <alignment vertical="center"/>
    </xf>
    <xf numFmtId="38" fontId="0" fillId="0" borderId="22" xfId="0" applyNumberFormat="1" applyBorder="1">
      <alignment vertical="center"/>
    </xf>
    <xf numFmtId="38" fontId="0" fillId="0" borderId="23" xfId="0" applyNumberFormat="1" applyBorder="1">
      <alignment vertical="center"/>
    </xf>
    <xf numFmtId="0" fontId="3" fillId="0" borderId="0" xfId="0" applyFont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FFFFA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7498032"/>
        <c:axId val="717498360"/>
      </c:barChart>
      <c:catAx>
        <c:axId val="717498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7498360"/>
        <c:crosses val="autoZero"/>
        <c:auto val="1"/>
        <c:lblAlgn val="ctr"/>
        <c:lblOffset val="100"/>
        <c:noMultiLvlLbl val="0"/>
      </c:catAx>
      <c:valAx>
        <c:axId val="717498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749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ja-JP"/>
              <a:t>支出推移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家計簿!$R$5:$R$16</c:f>
              <c:numCache>
                <c:formatCode>#,##0_);[Red]\(#,##0\)</c:formatCode>
                <c:ptCount val="12"/>
                <c:pt idx="0">
                  <c:v>1111</c:v>
                </c:pt>
                <c:pt idx="1">
                  <c:v>45</c:v>
                </c:pt>
                <c:pt idx="2">
                  <c:v>65</c:v>
                </c:pt>
                <c:pt idx="3">
                  <c:v>6453</c:v>
                </c:pt>
                <c:pt idx="4">
                  <c:v>685</c:v>
                </c:pt>
                <c:pt idx="5">
                  <c:v>56</c:v>
                </c:pt>
                <c:pt idx="6">
                  <c:v>6853</c:v>
                </c:pt>
                <c:pt idx="7">
                  <c:v>865</c:v>
                </c:pt>
                <c:pt idx="8">
                  <c:v>865</c:v>
                </c:pt>
                <c:pt idx="9">
                  <c:v>7645</c:v>
                </c:pt>
                <c:pt idx="10">
                  <c:v>65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9E-4DE8-AF0D-3A7070E3601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4218576"/>
        <c:axId val="914218904"/>
      </c:lineChart>
      <c:catAx>
        <c:axId val="914218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14218904"/>
        <c:crosses val="autoZero"/>
        <c:auto val="1"/>
        <c:lblAlgn val="ctr"/>
        <c:lblOffset val="100"/>
        <c:noMultiLvlLbl val="0"/>
      </c:catAx>
      <c:valAx>
        <c:axId val="914218904"/>
        <c:scaling>
          <c:orientation val="minMax"/>
        </c:scaling>
        <c:delete val="1"/>
        <c:axPos val="l"/>
        <c:numFmt formatCode="#,##0_);[Red]\(#,##0\)" sourceLinked="1"/>
        <c:majorTickMark val="none"/>
        <c:minorTickMark val="none"/>
        <c:tickLblPos val="nextTo"/>
        <c:crossAx val="91421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貯蓄額推移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家計簿!$T$5:$T$16</c:f>
              <c:numCache>
                <c:formatCode>#,##0_);[Red]\(#,##0\)</c:formatCode>
                <c:ptCount val="12"/>
                <c:pt idx="0">
                  <c:v>4357</c:v>
                </c:pt>
                <c:pt idx="1">
                  <c:v>225</c:v>
                </c:pt>
                <c:pt idx="2">
                  <c:v>9721</c:v>
                </c:pt>
                <c:pt idx="3">
                  <c:v>-6229</c:v>
                </c:pt>
                <c:pt idx="4">
                  <c:v>5769</c:v>
                </c:pt>
                <c:pt idx="5">
                  <c:v>809</c:v>
                </c:pt>
                <c:pt idx="6">
                  <c:v>-6218</c:v>
                </c:pt>
                <c:pt idx="7">
                  <c:v>-400</c:v>
                </c:pt>
                <c:pt idx="8">
                  <c:v>8100</c:v>
                </c:pt>
                <c:pt idx="9">
                  <c:v>-7566</c:v>
                </c:pt>
                <c:pt idx="10">
                  <c:v>733</c:v>
                </c:pt>
                <c:pt idx="11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0B-4E18-B0DE-020D408F9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5179752"/>
        <c:axId val="795180408"/>
      </c:lineChart>
      <c:catAx>
        <c:axId val="7951797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5180408"/>
        <c:crosses val="autoZero"/>
        <c:auto val="1"/>
        <c:lblAlgn val="ctr"/>
        <c:lblOffset val="100"/>
        <c:noMultiLvlLbl val="0"/>
      </c:catAx>
      <c:valAx>
        <c:axId val="795180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517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C424D54-D47A-4367-8A31-2B4EC56C5C59}">
  <sheetPr codeName="グラフ2"/>
  <sheetViews>
    <sheetView zoomScale="6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9676" cy="606238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1</xdr:row>
          <xdr:rowOff>45720</xdr:rowOff>
        </xdr:from>
        <xdr:to>
          <xdr:col>15</xdr:col>
          <xdr:colOff>38100</xdr:colOff>
          <xdr:row>1</xdr:row>
          <xdr:rowOff>350520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640080</xdr:colOff>
          <xdr:row>1</xdr:row>
          <xdr:rowOff>38100</xdr:rowOff>
        </xdr:from>
        <xdr:to>
          <xdr:col>18</xdr:col>
          <xdr:colOff>38100</xdr:colOff>
          <xdr:row>1</xdr:row>
          <xdr:rowOff>342900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671232</xdr:colOff>
      <xdr:row>18</xdr:row>
      <xdr:rowOff>229048</xdr:rowOff>
    </xdr:from>
    <xdr:to>
      <xdr:col>10</xdr:col>
      <xdr:colOff>8964</xdr:colOff>
      <xdr:row>30</xdr:row>
      <xdr:rowOff>215153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19</xdr:row>
      <xdr:rowOff>4482</xdr:rowOff>
    </xdr:from>
    <xdr:to>
      <xdr:col>17</xdr:col>
      <xdr:colOff>654423</xdr:colOff>
      <xdr:row>30</xdr:row>
      <xdr:rowOff>225461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2ED97-E491-4E01-956C-DAAFB793F52C}">
  <sheetPr codeName="Sheet1"/>
  <dimension ref="A1:T17"/>
  <sheetViews>
    <sheetView tabSelected="1" zoomScale="85" zoomScaleNormal="85" workbookViewId="0">
      <selection activeCell="J14" sqref="J14"/>
    </sheetView>
  </sheetViews>
  <sheetFormatPr defaultRowHeight="18" x14ac:dyDescent="0.45"/>
  <sheetData>
    <row r="1" spans="1:20" x14ac:dyDescent="0.45">
      <c r="A1" s="12"/>
    </row>
    <row r="2" spans="1:20" ht="28.8" x14ac:dyDescent="0.45">
      <c r="B2" s="31" t="s">
        <v>0</v>
      </c>
      <c r="C2" s="31"/>
      <c r="D2" s="31"/>
      <c r="E2" s="31"/>
      <c r="F2" s="31"/>
      <c r="G2" s="31"/>
      <c r="H2" s="31"/>
      <c r="I2" s="31"/>
      <c r="J2" s="31"/>
      <c r="K2" s="31"/>
      <c r="L2" s="1"/>
      <c r="M2" s="1"/>
      <c r="N2" s="1"/>
      <c r="O2" s="1"/>
      <c r="P2" s="9"/>
      <c r="Q2" s="1"/>
      <c r="R2" s="1"/>
      <c r="S2" s="1"/>
      <c r="T2" s="1"/>
    </row>
    <row r="3" spans="1:20" ht="18.600000000000001" thickBot="1" x14ac:dyDescent="0.5"/>
    <row r="4" spans="1:20" ht="18.600000000000001" thickBot="1" x14ac:dyDescent="0.5">
      <c r="B4" s="2"/>
      <c r="C4" s="6" t="s">
        <v>29</v>
      </c>
      <c r="D4" s="7" t="s">
        <v>28</v>
      </c>
      <c r="E4" s="7" t="s">
        <v>17</v>
      </c>
      <c r="F4" s="7" t="s">
        <v>16</v>
      </c>
      <c r="G4" s="7" t="s">
        <v>14</v>
      </c>
      <c r="H4" s="7" t="s">
        <v>26</v>
      </c>
      <c r="I4" s="7" t="s">
        <v>13</v>
      </c>
      <c r="J4" s="7" t="s">
        <v>18</v>
      </c>
      <c r="K4" s="7" t="s">
        <v>15</v>
      </c>
      <c r="L4" s="7" t="s">
        <v>19</v>
      </c>
      <c r="M4" s="7" t="s">
        <v>20</v>
      </c>
      <c r="N4" s="7" t="s">
        <v>21</v>
      </c>
      <c r="O4" s="7" t="s">
        <v>22</v>
      </c>
      <c r="P4" s="10" t="s">
        <v>27</v>
      </c>
      <c r="Q4" s="10" t="s">
        <v>23</v>
      </c>
      <c r="R4" s="11" t="s">
        <v>24</v>
      </c>
      <c r="S4" s="7" t="s">
        <v>25</v>
      </c>
      <c r="T4" s="8" t="s">
        <v>30</v>
      </c>
    </row>
    <row r="5" spans="1:20" x14ac:dyDescent="0.45">
      <c r="B5" s="3" t="s">
        <v>1</v>
      </c>
      <c r="C5" s="15">
        <v>123</v>
      </c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3"/>
      <c r="Q5" s="13">
        <v>123</v>
      </c>
      <c r="R5" s="17">
        <v>1111</v>
      </c>
      <c r="S5" s="16">
        <v>5468</v>
      </c>
      <c r="T5" s="18">
        <f t="shared" ref="T5:T16" si="0">S5-R5</f>
        <v>4357</v>
      </c>
    </row>
    <row r="6" spans="1:20" x14ac:dyDescent="0.45">
      <c r="B6" s="4" t="s">
        <v>2</v>
      </c>
      <c r="C6" s="19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13"/>
      <c r="Q6" s="21">
        <v>45</v>
      </c>
      <c r="R6" s="17">
        <f t="shared" ref="R6:R16" si="1">SUM(C6:Q6)</f>
        <v>45</v>
      </c>
      <c r="S6" s="20">
        <v>270</v>
      </c>
      <c r="T6" s="18">
        <f t="shared" si="0"/>
        <v>225</v>
      </c>
    </row>
    <row r="7" spans="1:20" x14ac:dyDescent="0.45">
      <c r="B7" s="4" t="s">
        <v>3</v>
      </c>
      <c r="C7" s="19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13"/>
      <c r="Q7" s="21">
        <v>65</v>
      </c>
      <c r="R7" s="17">
        <f t="shared" si="1"/>
        <v>65</v>
      </c>
      <c r="S7" s="20">
        <v>9786</v>
      </c>
      <c r="T7" s="18">
        <f t="shared" si="0"/>
        <v>9721</v>
      </c>
    </row>
    <row r="8" spans="1:20" x14ac:dyDescent="0.45">
      <c r="B8" s="4" t="s">
        <v>4</v>
      </c>
      <c r="C8" s="19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13"/>
      <c r="Q8" s="21">
        <v>6453</v>
      </c>
      <c r="R8" s="17">
        <f t="shared" si="1"/>
        <v>6453</v>
      </c>
      <c r="S8" s="20">
        <v>224</v>
      </c>
      <c r="T8" s="18">
        <f t="shared" si="0"/>
        <v>-6229</v>
      </c>
    </row>
    <row r="9" spans="1:20" x14ac:dyDescent="0.45">
      <c r="B9" s="4" t="s">
        <v>5</v>
      </c>
      <c r="C9" s="19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13"/>
      <c r="Q9" s="21">
        <v>685</v>
      </c>
      <c r="R9" s="17">
        <f t="shared" si="1"/>
        <v>685</v>
      </c>
      <c r="S9" s="20">
        <v>6454</v>
      </c>
      <c r="T9" s="18">
        <f t="shared" si="0"/>
        <v>5769</v>
      </c>
    </row>
    <row r="10" spans="1:20" x14ac:dyDescent="0.45">
      <c r="B10" s="4" t="s">
        <v>6</v>
      </c>
      <c r="C10" s="19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3"/>
      <c r="Q10" s="21">
        <v>56</v>
      </c>
      <c r="R10" s="17">
        <f t="shared" si="1"/>
        <v>56</v>
      </c>
      <c r="S10" s="20">
        <v>865</v>
      </c>
      <c r="T10" s="18">
        <f t="shared" si="0"/>
        <v>809</v>
      </c>
    </row>
    <row r="11" spans="1:20" x14ac:dyDescent="0.45">
      <c r="B11" s="4" t="s">
        <v>7</v>
      </c>
      <c r="C11" s="19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13"/>
      <c r="Q11" s="21">
        <v>6853</v>
      </c>
      <c r="R11" s="17">
        <f t="shared" si="1"/>
        <v>6853</v>
      </c>
      <c r="S11" s="20">
        <v>635</v>
      </c>
      <c r="T11" s="18">
        <f t="shared" si="0"/>
        <v>-6218</v>
      </c>
    </row>
    <row r="12" spans="1:20" x14ac:dyDescent="0.45">
      <c r="B12" s="4" t="s">
        <v>8</v>
      </c>
      <c r="C12" s="19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13"/>
      <c r="Q12" s="21">
        <v>865</v>
      </c>
      <c r="R12" s="17">
        <f t="shared" si="1"/>
        <v>865</v>
      </c>
      <c r="S12" s="20">
        <v>465</v>
      </c>
      <c r="T12" s="18">
        <f t="shared" si="0"/>
        <v>-400</v>
      </c>
    </row>
    <row r="13" spans="1:20" x14ac:dyDescent="0.45">
      <c r="B13" s="4" t="s">
        <v>9</v>
      </c>
      <c r="C13" s="19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13"/>
      <c r="Q13" s="21">
        <v>865</v>
      </c>
      <c r="R13" s="17">
        <f t="shared" si="1"/>
        <v>865</v>
      </c>
      <c r="S13" s="20">
        <v>8965</v>
      </c>
      <c r="T13" s="18">
        <f t="shared" si="0"/>
        <v>8100</v>
      </c>
    </row>
    <row r="14" spans="1:20" x14ac:dyDescent="0.45">
      <c r="B14" s="4" t="s">
        <v>10</v>
      </c>
      <c r="C14" s="19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3"/>
      <c r="Q14" s="21">
        <v>7645</v>
      </c>
      <c r="R14" s="17">
        <f t="shared" si="1"/>
        <v>7645</v>
      </c>
      <c r="S14" s="20">
        <v>79</v>
      </c>
      <c r="T14" s="18">
        <f t="shared" si="0"/>
        <v>-7566</v>
      </c>
    </row>
    <row r="15" spans="1:20" x14ac:dyDescent="0.45">
      <c r="B15" s="4" t="s">
        <v>11</v>
      </c>
      <c r="C15" s="19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13"/>
      <c r="Q15" s="21">
        <v>65</v>
      </c>
      <c r="R15" s="17">
        <f t="shared" si="1"/>
        <v>65</v>
      </c>
      <c r="S15" s="20">
        <v>798</v>
      </c>
      <c r="T15" s="18">
        <f t="shared" si="0"/>
        <v>733</v>
      </c>
    </row>
    <row r="16" spans="1:20" ht="18.600000000000001" thickBot="1" x14ac:dyDescent="0.5">
      <c r="B16" s="5" t="s">
        <v>12</v>
      </c>
      <c r="C16" s="22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23">
        <v>3</v>
      </c>
      <c r="R16" s="24">
        <f t="shared" si="1"/>
        <v>3</v>
      </c>
      <c r="S16" s="25">
        <v>97</v>
      </c>
      <c r="T16" s="26">
        <f t="shared" si="0"/>
        <v>94</v>
      </c>
    </row>
    <row r="17" spans="17:20" ht="18.600000000000001" thickBot="1" x14ac:dyDescent="0.5">
      <c r="Q17" s="27" t="s">
        <v>31</v>
      </c>
      <c r="R17" s="28">
        <f>SUM(R5:R16)</f>
        <v>24711</v>
      </c>
      <c r="S17" s="29">
        <f>SUM(S5:S16)</f>
        <v>34106</v>
      </c>
      <c r="T17" s="30">
        <f>SUM(T5:T16)</f>
        <v>9395</v>
      </c>
    </row>
  </sheetData>
  <mergeCells count="1">
    <mergeCell ref="B2:K2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15</xdr:col>
                <xdr:colOff>640080</xdr:colOff>
                <xdr:row>1</xdr:row>
                <xdr:rowOff>38100</xdr:rowOff>
              </from>
              <to>
                <xdr:col>18</xdr:col>
                <xdr:colOff>38100</xdr:colOff>
                <xdr:row>1</xdr:row>
                <xdr:rowOff>342900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12</xdr:col>
                <xdr:colOff>640080</xdr:colOff>
                <xdr:row>1</xdr:row>
                <xdr:rowOff>45720</xdr:rowOff>
              </from>
              <to>
                <xdr:col>15</xdr:col>
                <xdr:colOff>38100</xdr:colOff>
                <xdr:row>1</xdr:row>
                <xdr:rowOff>350520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グラフ</vt:lpstr>
      </vt:variant>
      <vt:variant>
        <vt:i4>1</vt:i4>
      </vt:variant>
    </vt:vector>
  </HeadingPairs>
  <TitlesOfParts>
    <vt:vector size="2" baseType="lpstr">
      <vt:lpstr>家計簿</vt:lpstr>
      <vt:lpstr>グラフ1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フジコちゃん</dc:creator>
  <cp:lastModifiedBy>フジコちゃん</cp:lastModifiedBy>
  <dcterms:created xsi:type="dcterms:W3CDTF">2020-06-08T08:16:15Z</dcterms:created>
  <dcterms:modified xsi:type="dcterms:W3CDTF">2020-06-25T09:32:43Z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d1efc323-83a0-4f6e-87ad-d5ee15ca52bb</vt:lpwstr>
  </property>
</Properties>
</file>